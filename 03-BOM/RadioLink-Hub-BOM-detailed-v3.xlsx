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446d20f8a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4afca4557c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&quot;$&quot;#,##0.00"/>
    <x:numFmt numFmtId="165" formatCode="M/d/yyyy"/>
  </x:numFmts>
  <x:fonts count="4">
    <x:font>
      <x:sz val="11"/>
      <x:color theme="1"/>
      <x:name val="Calibri"/>
    </x:font>
    <x:font>
      <x:b/>
      <x:sz val="24"/>
    </x:font>
    <x:font>
      <x:b/>
    </x:font>
    <x:font>
      <x:color rgb="FF0563C1"/>
    </x:font>
  </x:fonts>
  <x:fills count="3">
    <x:fill>
      <x:patternFill patternType="none"/>
    </x:fill>
    <x:fill>
      <x:patternFill patternType="gray125"/>
    </x:fill>
    <x:fill>
      <x:patternFill patternType="solid">
        <x:fgColor rgb="FFCFE2F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horizontal="center"/>
    </x:xf>
    <x:xf numFmtId="0" fontId="2" fillId="2" borderId="0" xfId="0" applyAlignment="1">
      <x:alignment vertical="center" wrapText="1"/>
    </x:xf>
    <x:xf numFmtId="0" fontId="0" fillId="0" borderId="0" xfId="0" applyAlignment="1">
      <x:alignment vertical="center" wrapText="1"/>
    </x:xf>
    <x:xf numFmtId="3" fontId="0" fillId="0" borderId="0" xfId="0"/>
    <x:xf numFmtId="164" fontId="0" fillId="0" borderId="0" xfId="0"/>
    <x:xf numFmtId="0" fontId="3" fillId="0" borderId="0" xfId="0"/>
    <x:xf numFmtId="165" fontId="0" fillId="0" borderId="0" xfId="0"/>
    <x:xf numFmtId="0" fontId="0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8c938f5ac46ba" /><Relationship Type="http://schemas.openxmlformats.org/officeDocument/2006/relationships/theme" Target="/xl/theme/theme1.xml" Id="Rf903e6983a084edf" /><Relationship Type="http://schemas.openxmlformats.org/officeDocument/2006/relationships/sharedStrings" Target="/xl/sharedStrings.xml" Id="R112fbd0b76274b62" /><Relationship Type="http://schemas.openxmlformats.org/officeDocument/2006/relationships/worksheet" Target="/xl/worksheets/sheet1.xml" Id="R2d4afca4557c4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buydisplay.com/30-pin-0-5mm-pitch-top-contact-zif-connector-fpc-connector" TargetMode="External" Id="R10c40d2e3fdf42f8" /><Relationship Type="http://schemas.openxmlformats.org/officeDocument/2006/relationships/hyperlink" Target="https://www.buydisplay.com/128x64-oled-i2c-0-96-display-white-color-connector-fpc-ssd1306" TargetMode="External" Id="R9c06c384acec4e25" /><Relationship Type="http://schemas.openxmlformats.org/officeDocument/2006/relationships/hyperlink" Target="datasheets/ER-OLED0.96-1_Series_Datasheet.pdf" TargetMode="External" Id="Rce63f6c0278c45d8" /><Relationship Type="http://schemas.openxmlformats.org/officeDocument/2006/relationships/hyperlink" Target="https://www.digikey.com/en/products/detail/onsemi/2N7000/244278" TargetMode="External" Id="R19bd12dcd56c4dec" /><Relationship Type="http://schemas.openxmlformats.org/officeDocument/2006/relationships/hyperlink" Target="datasheets/2N7000.pdf" TargetMode="External" Id="R4354ea78d46b45af" /><Relationship Type="http://schemas.openxmlformats.org/officeDocument/2006/relationships/hyperlink" Target="https://www.digikey.com/en/products/detail/microchip-technology/MCP1700-3302E-TO/652680" TargetMode="External" Id="R60d3c68f677143ae" /><Relationship Type="http://schemas.openxmlformats.org/officeDocument/2006/relationships/hyperlink" Target="datasheets/MCP1700.pdf" TargetMode="External" Id="Rcf3b38a038214d9c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8" defaultRowHeight="15"/>
  <x:cols>
    <x:col min="1" max="1" width="62" customWidth="1"/>
    <x:col min="2" max="2" width="12" customWidth="1"/>
    <x:col min="3" max="3" width="16" customWidth="1"/>
    <x:col min="4" max="4" width="17" customWidth="1"/>
    <x:col min="5" max="5" width="17" customWidth="1"/>
    <x:col min="6" max="6" width="18" customWidth="1"/>
    <x:col min="7" max="7" width="14" customWidth="1"/>
    <x:col min="8" max="8" width="22" customWidth="1"/>
    <x:col min="9" max="9" width="28" customWidth="1"/>
    <x:col min="10" max="10" width="36" customWidth="1"/>
    <x:col min="11" max="11" width="14" customWidth="1"/>
    <x:col min="12" max="12" width="16" customWidth="1"/>
    <x:col min="13" max="13" width="12" customWidth="1"/>
    <x:col min="14" max="14" width="14" customWidth="1"/>
    <x:col min="15" max="15" width="12" customWidth="1"/>
    <x:col min="16" max="16" width="10" customWidth="1"/>
    <x:col min="17" max="17" width="36" customWidth="1"/>
  </x:cols>
  <x:sheetData>
    <x:row r="1" ht="32" customHeight="1">
      <x:c r="A1" s="1" t="inlineStr">
        <x:is>
          <x:t xml:space="preserve">RadioLink Hub Bill of Materials</x:t>
        </x:is>
      </x:c>
    </x:row>
    <x:row r="2" ht="30" customHeight="1">
      <x:c r="A2" s="2" t="inlineStr">
        <x:is>
          <x:t xml:space="preserve">Part Name/Description</x:t>
        </x:is>
      </x:c>
      <x:c r="B2" s="2" t="inlineStr">
        <x:is>
          <x:t xml:space="preserve">Unit Quantity</x:t>
        </x:is>
      </x:c>
      <x:c r="C2" s="2" t="inlineStr">
        <x:is>
          <x:t xml:space="preserve">Unit Prototype Cost</x:t>
        </x:is>
      </x:c>
      <x:c r="D2" s="2" t="inlineStr">
        <x:is>
          <x:t xml:space="preserve">Total Prototype Cost</x:t>
        </x:is>
      </x:c>
      <x:c r="E2" s="2" t="inlineStr">
        <x:is>
          <x:t xml:space="preserve">Unit Production Cost</x:t>
        </x:is>
      </x:c>
      <x:c r="F2" s="2" t="inlineStr">
        <x:is>
          <x:t xml:space="preserve">Total Production Cost</x:t>
        </x:is>
      </x:c>
      <x:c r="G2" s="2" t="inlineStr">
        <x:is>
          <x:t xml:space="preserve">Manufacturer</x:t>
        </x:is>
      </x:c>
      <x:c r="H2" s="2" t="inlineStr">
        <x:is>
          <x:t xml:space="preserve">Manufacturer Part #</x:t>
        </x:is>
      </x:c>
      <x:c r="I2" s="2" t="inlineStr">
        <x:is>
          <x:t xml:space="preserve">Vendor Link</x:t>
        </x:is>
      </x:c>
      <x:c r="J2" s="2" t="inlineStr">
        <x:is>
          <x:t xml:space="preserve">Datasheet Link</x:t>
        </x:is>
      </x:c>
      <x:c r="K2" s="2" t="inlineStr">
        <x:is>
          <x:t xml:space="preserve">Supplier</x:t>
        </x:is>
      </x:c>
      <x:c r="L2" s="2" t="inlineStr">
        <x:is>
          <x:t xml:space="preserve">Supplier Part #</x:t>
        </x:is>
      </x:c>
      <x:c r="M2" s="2" t="inlineStr">
        <x:is>
          <x:t xml:space="preserve"># Ordered</x:t>
        </x:is>
      </x:c>
      <x:c r="N2" s="2" t="inlineStr">
        <x:is>
          <x:t xml:space="preserve">Date Ordered</x:t>
        </x:is>
      </x:c>
      <x:c r="O2" s="2" t="inlineStr">
        <x:is>
          <x:t xml:space="preserve"># Received</x:t>
        </x:is>
      </x:c>
      <x:c r="P2" s="2" t="inlineStr">
        <x:is>
          <x:t xml:space="preserve">Surplus</x:t>
        </x:is>
      </x:c>
      <x:c r="Q2" s="2" t="inlineStr">
        <x:is>
          <x:t xml:space="preserve">Schematic Reference Designators</x:t>
        </x:is>
      </x:c>
    </x:row>
    <x:row r="3" ht="18" customHeight="1">
      <x:c r="A3" s="8" t="inlineStr">
        <x:is>
          <x:t xml:space="preserve">30-position 0.5 mm pitch top-contact ZIF FPC connector, SMT</x:t>
        </x:is>
      </x:c>
      <x:c r="B3" s="4" t="n">
        <x:v>1</x:v>
      </x:c>
      <x:c r="C3" s="5" t="n">
        <x:v>0.17</x:v>
      </x:c>
      <x:c r="D3" s="5" t="n">
        <x:f>IF(C3="","",B3*C3)</x:f>
        <x:v>0.17</x:v>
      </x:c>
      <x:c r="E3" s="5" t="n">
        <x:v>0.11</x:v>
      </x:c>
      <x:c r="F3" s="5" t="n">
        <x:f>IF(E3="","",B3*E3)</x:f>
        <x:v>0.11</x:v>
      </x:c>
      <x:c r="G3" t="inlineStr">
        <x:is>
          <x:t xml:space="preserve">EastRising</x:t>
        </x:is>
      </x:c>
      <x:c r="H3" t="inlineStr">
        <x:is>
          <x:t xml:space="preserve">ER-CON30HT-1</x:t>
        </x:is>
      </x:c>
      <x:c r="I3" s="6" t="inlineStr">
        <x:is>
          <x:t xml:space="preserve">https://www.buydisplay.com/30-pin-0-5mm-pitch-top-contact-zif-connector-fpc-connector</x:t>
        </x:is>
      </x:c>
      <x:c r="J3" t="inlineStr">
        <x:is>
          <x:t xml:space="preserve">https://www.buydisplay.com/download/manual/ER-CON30HT-1.pdf</x:t>
        </x:is>
      </x:c>
      <x:c r="K3" t="inlineStr">
        <x:is>
          <x:t xml:space="preserve">BuyDisplay</x:t>
        </x:is>
      </x:c>
      <x:c r="L3" t="inlineStr">
        <x:is>
          <x:t xml:space="preserve">ER-CON30HT-1</x:t>
        </x:is>
      </x:c>
      <x:c r="N3" s="7" t="n"/>
      <x:c r="P3" s="4" t="str">
        <x:f>IF(O3="","",O3-B3)</x:f>
      </x:c>
      <x:c r="Q3" t="inlineStr">
        <x:is>
          <x:t xml:space="preserve">J7</x:t>
        </x:is>
      </x:c>
    </x:row>
    <x:row r="4" ht="18" customHeight="1">
      <x:c r="A4" s="8" t="inlineStr">
        <x:is>
          <x:t xml:space="preserve">0.96 in 128 x 64 white OLED display, SSD1306 controller, 30-pin 0.5 mm FPC</x:t>
        </x:is>
      </x:c>
      <x:c r="B4" s="4" t="n">
        <x:v>1</x:v>
      </x:c>
      <x:c r="C4" s="5" t="n">
        <x:v>2.49</x:v>
      </x:c>
      <x:c r="D4" s="5" t="n">
        <x:f>IF(C4="","",B4*C4)</x:f>
        <x:v>2.49</x:v>
      </x:c>
      <x:c r="E4" s="5" t="n">
        <x:v>2.23</x:v>
      </x:c>
      <x:c r="F4" s="5" t="n">
        <x:f>IF(E4="","",B4*E4)</x:f>
        <x:v>2.23</x:v>
      </x:c>
      <x:c r="G4" t="inlineStr">
        <x:is>
          <x:t xml:space="preserve">EastRising</x:t>
        </x:is>
      </x:c>
      <x:c r="H4" t="inlineStr">
        <x:is>
          <x:t xml:space="preserve">ER-OLED0.96-1.3W</x:t>
        </x:is>
      </x:c>
      <x:c r="I4" s="6" t="inlineStr">
        <x:is>
          <x:t xml:space="preserve">https://www.buydisplay.com/128x64-oled-i2c-0-96-display-white-color-connector-fpc-ssd1306</x:t>
        </x:is>
      </x:c>
      <x:c r="J4" s="6" t="inlineStr">
        <x:is>
          <x:t xml:space="preserve">https://www.buydisplay.com/download/manual/ER-OLED0.96-1_Series_Datasheet.pdf</x:t>
        </x:is>
      </x:c>
      <x:c r="K4" t="inlineStr">
        <x:is>
          <x:t xml:space="preserve">BuyDisplay</x:t>
        </x:is>
      </x:c>
      <x:c r="L4" t="inlineStr">
        <x:is>
          <x:t xml:space="preserve">ER-OLED0.96-1.3W</x:t>
        </x:is>
      </x:c>
      <x:c r="N4" s="7" t="n"/>
      <x:c r="P4" s="4" t="str">
        <x:f>IF(O4="","",O4-B4)</x:f>
      </x:c>
      <x:c r="Q4" t="inlineStr">
        <x:is>
          <x:t xml:space="preserve">U1</x:t>
        </x:is>
      </x:c>
    </x:row>
    <x:row r="5" ht="18" customHeight="1">
      <x:c r="A5" s="8" t="inlineStr">
        <x:is>
          <x:t xml:space="preserve">60 V N-channel MOSFET, 200 mA continuous drain current, TO-92 through-hole</x:t>
        </x:is>
      </x:c>
      <x:c r="B5" s="4" t="n">
        <x:v>2</x:v>
      </x:c>
      <x:c r="C5" s="5" t="n">
        <x:v>0.65</x:v>
      </x:c>
      <x:c r="D5" s="5" t="n">
        <x:f>IF(C5="","",B5*C5)</x:f>
        <x:v>1.3</x:v>
      </x:c>
      <x:c r="E5" s="5" t="n">
        <x:v>0.2577</x:v>
      </x:c>
      <x:c r="F5" s="5" t="n">
        <x:f>IF(E5="","",B5*E5)</x:f>
        <x:v>0.5154</x:v>
      </x:c>
      <x:c r="G5" t="inlineStr">
        <x:is>
          <x:t xml:space="preserve">onsemi</x:t>
        </x:is>
      </x:c>
      <x:c r="H5" t="inlineStr">
        <x:is>
          <x:t xml:space="preserve">2N7000</x:t>
        </x:is>
      </x:c>
      <x:c r="I5" s="6" t="inlineStr">
        <x:is>
          <x:t xml:space="preserve">https://www.digikey.com/en/products/detail/onsemi/2N7000/244278</x:t>
        </x:is>
      </x:c>
      <x:c r="J5" s="6" t="inlineStr">
        <x:is>
          <x:t xml:space="preserve">https://www.onsemi.com/download/data-sheet/pdf/2n7000-d.pdf</x:t>
        </x:is>
      </x:c>
      <x:c r="K5" t="inlineStr">
        <x:is>
          <x:t xml:space="preserve">DigiKey</x:t>
        </x:is>
      </x:c>
      <x:c r="L5" t="inlineStr">
        <x:is>
          <x:t xml:space="preserve">2N7000FS-ND</x:t>
        </x:is>
      </x:c>
      <x:c r="N5" s="7" t="n"/>
      <x:c r="P5" s="4" t="str">
        <x:f>IF(O5="","",O5-B5)</x:f>
      </x:c>
      <x:c r="Q5" t="inlineStr">
        <x:is>
          <x:t xml:space="preserve">Q1, Q2</x:t>
        </x:is>
      </x:c>
    </x:row>
    <x:row r="6" ht="18" customHeight="1">
      <x:c r="A6" s="8" t="inlineStr">
        <x:is>
          <x:t xml:space="preserve">3.3 V 250 mA low-dropout linear regulator, TO-92 through-hole</x:t>
        </x:is>
      </x:c>
      <x:c r="B6" s="4" t="n">
        <x:v>1</x:v>
      </x:c>
      <x:c r="C6" s="5" t="n">
        <x:v>0.5</x:v>
      </x:c>
      <x:c r="D6" s="5" t="n">
        <x:f>IF(C6="","",B6*C6)</x:f>
        <x:v>0.5</x:v>
      </x:c>
      <x:c r="E6" s="5" t="n">
        <x:v>0.37</x:v>
      </x:c>
      <x:c r="F6" s="5" t="n">
        <x:f>IF(E6="","",B6*E6)</x:f>
        <x:v>0.37</x:v>
      </x:c>
      <x:c r="G6" t="inlineStr">
        <x:is>
          <x:t xml:space="preserve">Microchip Technology</x:t>
        </x:is>
      </x:c>
      <x:c r="H6" t="inlineStr">
        <x:is>
          <x:t xml:space="preserve">MCP1700-3302E/TO</x:t>
        </x:is>
      </x:c>
      <x:c r="I6" s="6" t="inlineStr">
        <x:is>
          <x:t xml:space="preserve">https://www.digikey.com/en/products/detail/microchip-technology/MCP1700-3302E-TO/652680</x:t>
        </x:is>
      </x:c>
      <x:c r="J6" s="6" t="inlineStr">
        <x:is>
          <x:t xml:space="preserve">https://ww1.microchip.com/downloads/aemDocuments/documents/APID/ProductDocuments/DataSheets/MCP1700-Data-Sheet-20001826F.pdf</x:t>
        </x:is>
      </x:c>
      <x:c r="K6" t="inlineStr">
        <x:is>
          <x:t xml:space="preserve">DigiKey</x:t>
        </x:is>
      </x:c>
      <x:c r="L6" t="inlineStr">
        <x:is>
          <x:t xml:space="preserve">MCP1700-3302E/TO-ND</x:t>
        </x:is>
      </x:c>
      <x:c r="N6" s="7" t="n"/>
      <x:c r="P6" s="4" t="str">
        <x:f>IF(O6="","",O6-B6)</x:f>
      </x:c>
      <x:c r="Q6" t="inlineStr">
        <x:is>
          <x:t xml:space="preserve">U2</x:t>
        </x:is>
      </x:c>
    </x:row>
    <x:row r="7" ht="18" customHeight="1">
      <x:c r="A7" s="8" t="inlineStr">
        <x:is>
          <x:t xml:space="preserve">10 µF ceramic capacitor, ±10%, X5R, 10 V, 0805 (2012 metric)</x:t>
        </x:is>
      </x:c>
      <x:c r="B7" s="4" t="n">
        <x:v>3</x:v>
      </x:c>
      <x:c r="C7" s="5" t="n">
        <x:v>0</x:v>
      </x:c>
      <x:c r="D7" s="5" t="str">
        <x:f>IF(C7="","",B7*C7)</x:f>
      </x:c>
      <x:c r="E7" s="5" t="n">
        <x:v>0.2</x:v>
      </x:c>
      <x:c r="F7" s="5" t="n">
        <x:f>IF(E7="","",B7*E7)</x:f>
        <x:v>0.6000000000000001</x:v>
      </x:c>
      <x:c r="G7" t="inlineStr">
        <x:is>
          <x:t xml:space="preserve">KEMET</x:t>
        </x:is>
      </x:c>
      <x:c r="H7" t="inlineStr">
        <x:is>
          <x:t xml:space="preserve">C0805C106K8PAC7210</x:t>
        </x:is>
      </x:c>
      <x:c r="I7" t="inlineStr">
        <x:is>
          <x:t xml:space="preserve">https://www.digikey.com/en/products/detail/kemet/C0805C106K8PAC7210/12701235</x:t>
        </x:is>
      </x:c>
      <x:c r="J7" t="inlineStr">
        <x:is>
          <x:t xml:space="preserve">https://search.kemet.com/component-documentation/download/specsheet/C0805C106K8PAC7210</x:t>
        </x:is>
      </x:c>
      <x:c r="K7" t="inlineStr">
        <x:is>
          <x:t xml:space="preserve">PRLTA 109 (DigiKey cross-reference)</x:t>
        </x:is>
      </x:c>
      <x:c r="L7" t="inlineStr">
        <x:is>
          <x:t xml:space="preserve">399-C0805C106K8PAC7210CT-ND</x:t>
        </x:is>
      </x:c>
      <x:c r="M7" t="n">
        <x:v>0</x:v>
      </x:c>
      <x:c r="N7" s="7" t="n"/>
      <x:c r="P7" s="4" t="str">
        <x:f>IF(O7="","",O7-B7)</x:f>
      </x:c>
      <x:c r="Q7" t="inlineStr">
        <x:is>
          <x:t xml:space="preserve">C1, C2, C5</x:t>
        </x:is>
      </x:c>
    </x:row>
    <x:row r="8" ht="18" customHeight="1">
      <x:c r="A8" s="8" t="inlineStr">
        <x:is>
          <x:t xml:space="preserve">0.1 µF ceramic capacitor, ±5%, X7R, 16 V, 0805 (2012 metric)</x:t>
        </x:is>
      </x:c>
      <x:c r="B8" s="4" t="n">
        <x:v>1</x:v>
      </x:c>
      <x:c r="C8" s="5" t="n">
        <x:v>0</x:v>
      </x:c>
      <x:c r="D8" s="5" t="str">
        <x:f>IF(C8="","",B8*C8)</x:f>
      </x:c>
      <x:c r="E8" s="5" t="n">
        <x:v>0.79</x:v>
      </x:c>
      <x:c r="F8" s="5" t="n">
        <x:f>IF(E8="","",B8*E8)</x:f>
        <x:v>0.79</x:v>
      </x:c>
      <x:c r="G8" t="inlineStr">
        <x:is>
          <x:t xml:space="preserve">KEMET</x:t>
        </x:is>
      </x:c>
      <x:c r="H8" t="inlineStr">
        <x:is>
          <x:t xml:space="preserve">C0805C104J4RACTU</x:t>
        </x:is>
      </x:c>
      <x:c r="I8" t="inlineStr">
        <x:is>
          <x:t xml:space="preserve">https://www.digikey.com/en/products/detail/kemet/C0805C104J4RACTU/4357875</x:t>
        </x:is>
      </x:c>
      <x:c r="J8" t="inlineStr">
        <x:is>
          <x:t xml:space="preserve">https://search.kemet.com/component-documentation/download/specsheet/C0805C104J4RACTU</x:t>
        </x:is>
      </x:c>
      <x:c r="K8" t="inlineStr">
        <x:is>
          <x:t xml:space="preserve">PRLTA 109 (DigiKey cross-reference)</x:t>
        </x:is>
      </x:c>
      <x:c r="L8" t="inlineStr">
        <x:is>
          <x:t xml:space="preserve">399-C0805C104J4RACTUCT-ND</x:t>
        </x:is>
      </x:c>
      <x:c r="M8" t="n">
        <x:v>0</x:v>
      </x:c>
      <x:c r="N8" s="7" t="n"/>
      <x:c r="P8" s="4" t="str">
        <x:f>IF(O8="","",O8-B8)</x:f>
      </x:c>
      <x:c r="Q8" t="inlineStr">
        <x:is>
          <x:t xml:space="preserve">C10</x:t>
        </x:is>
      </x:c>
    </x:row>
    <x:row r="9" ht="18" customHeight="1">
      <x:c r="A9" s="8" t="inlineStr">
        <x:is>
          <x:t xml:space="preserve">0.1 µF ceramic capacitor, ±5%, X7R, 16 V, 0805 (2012 metric)</x:t>
        </x:is>
      </x:c>
      <x:c r="B9" s="4" t="n">
        <x:v>1</x:v>
      </x:c>
      <x:c r="C9" s="5" t="n">
        <x:v>0</x:v>
      </x:c>
      <x:c r="D9" s="5" t="str">
        <x:f>IF(C9="","",B9*C9)</x:f>
      </x:c>
      <x:c r="E9" s="5" t="n">
        <x:v>0.79</x:v>
      </x:c>
      <x:c r="F9" s="5" t="n">
        <x:f>IF(E9="","",B9*E9)</x:f>
        <x:v>0.79</x:v>
      </x:c>
      <x:c r="G9" t="inlineStr">
        <x:is>
          <x:t xml:space="preserve">KEMET</x:t>
        </x:is>
      </x:c>
      <x:c r="H9" t="inlineStr">
        <x:is>
          <x:t xml:space="preserve">C0805C104J4RACTU</x:t>
        </x:is>
      </x:c>
      <x:c r="I9" t="inlineStr">
        <x:is>
          <x:t xml:space="preserve">https://www.digikey.com/en/products/detail/kemet/C0805C104J4RACTU/4357875</x:t>
        </x:is>
      </x:c>
      <x:c r="J9" t="inlineStr">
        <x:is>
          <x:t xml:space="preserve">https://search.kemet.com/component-documentation/download/specsheet/C0805C104J4RACTU</x:t>
        </x:is>
      </x:c>
      <x:c r="K9" t="inlineStr">
        <x:is>
          <x:t xml:space="preserve">PRLTA 109 (DigiKey cross-reference)</x:t>
        </x:is>
      </x:c>
      <x:c r="L9" t="inlineStr">
        <x:is>
          <x:t xml:space="preserve">399-C0805C104J4RACTUCT-ND</x:t>
        </x:is>
      </x:c>
      <x:c r="M9" t="n">
        <x:v>0</x:v>
      </x:c>
      <x:c r="N9" s="7" t="n"/>
      <x:c r="P9" s="4" t="str">
        <x:f>IF(O9="","",O9-B9)</x:f>
      </x:c>
      <x:c r="Q9" t="inlineStr">
        <x:is>
          <x:t xml:space="preserve">C11</x:t>
        </x:is>
      </x:c>
    </x:row>
    <x:row r="10" ht="18" customHeight="1">
      <x:c r="A10" s="8" t="inlineStr">
        <x:is>
          <x:t xml:space="preserve">1 µF ceramic capacitor, ±5%, X7R, 16 V, 0805 (2012 metric)</x:t>
        </x:is>
      </x:c>
      <x:c r="B10" s="4" t="n">
        <x:v>4</x:v>
      </x:c>
      <x:c r="C10" s="5" t="n">
        <x:v>0</x:v>
      </x:c>
      <x:c r="D10" s="5" t="str">
        <x:f>IF(C10="","",B10*C10)</x:f>
      </x:c>
      <x:c r="E10" s="5" t="n">
        <x:v>0.52</x:v>
      </x:c>
      <x:c r="F10" s="5" t="n">
        <x:f>IF(E10="","",B10*E10)</x:f>
        <x:v>2.08</x:v>
      </x:c>
      <x:c r="G10" t="inlineStr">
        <x:is>
          <x:t xml:space="preserve">KEMET</x:t>
        </x:is>
      </x:c>
      <x:c r="H10" t="inlineStr">
        <x:is>
          <x:t xml:space="preserve">C0805C105J4RACTU</x:t>
        </x:is>
      </x:c>
      <x:c r="I10" t="inlineStr">
        <x:is>
          <x:t xml:space="preserve">https://www.digikey.com/en/products/detail/kemet/C0805C105J4RACTU/3471724</x:t>
        </x:is>
      </x:c>
      <x:c r="J10" t="inlineStr">
        <x:is>
          <x:t xml:space="preserve">https://search.kemet.com/component-documentation/download/specsheet/C0805C105J4RACTU</x:t>
        </x:is>
      </x:c>
      <x:c r="K10" t="inlineStr">
        <x:is>
          <x:t xml:space="preserve">PRLTA 109 (DigiKey cross-reference)</x:t>
        </x:is>
      </x:c>
      <x:c r="L10" t="inlineStr">
        <x:is>
          <x:t xml:space="preserve">399-C0805C105J4RACTUCT-ND</x:t>
        </x:is>
      </x:c>
      <x:c r="M10" t="n">
        <x:v>0</x:v>
      </x:c>
      <x:c r="N10" s="7" t="n"/>
      <x:c r="P10" s="4" t="str">
        <x:f>IF(O10="","",O10-B10)</x:f>
      </x:c>
      <x:c r="Q10" t="inlineStr">
        <x:is>
          <x:t xml:space="preserve">C3, C4, C6, C7</x:t>
        </x:is>
      </x:c>
    </x:row>
    <x:row r="11" ht="18" customHeight="1">
      <x:c r="A11" s="8" t="inlineStr">
        <x:is>
          <x:t xml:space="preserve">2.2 µF ceramic capacitor, ±10%, X7R, 16 V, 0805 (2012 metric)</x:t>
        </x:is>
      </x:c>
      <x:c r="B11" s="4" t="n">
        <x:v>1</x:v>
      </x:c>
      <x:c r="C11" s="5" t="n">
        <x:v>0</x:v>
      </x:c>
      <x:c r="D11" s="5" t="str">
        <x:f>IF(C11="","",B11*C11)</x:f>
      </x:c>
      <x:c r="E11" s="5" t="n">
        <x:v>0.24</x:v>
      </x:c>
      <x:c r="F11" s="5" t="n">
        <x:f>IF(E11="","",B11*E11)</x:f>
        <x:v>0.24</x:v>
      </x:c>
      <x:c r="G11" t="inlineStr">
        <x:is>
          <x:t xml:space="preserve">KEMET</x:t>
        </x:is>
      </x:c>
      <x:c r="H11" t="inlineStr">
        <x:is>
          <x:t xml:space="preserve">C0805C225K4RECTU</x:t>
        </x:is>
      </x:c>
      <x:c r="I11" t="inlineStr">
        <x:is>
          <x:t xml:space="preserve">https://www.digikey.com/en/products/detail/kemet/C0805C225K4RECTU/8643810</x:t>
        </x:is>
      </x:c>
      <x:c r="J11" t="inlineStr">
        <x:is>
          <x:t xml:space="preserve">https://search.kemet.com/component-documentation/download/specsheet/C0805C225K4RECTU</x:t>
        </x:is>
      </x:c>
      <x:c r="K11" t="inlineStr">
        <x:is>
          <x:t xml:space="preserve">PRLTA 109 (DigiKey cross-reference)</x:t>
        </x:is>
      </x:c>
      <x:c r="L11" t="inlineStr">
        <x:is>
          <x:t xml:space="preserve">399-C0805C225K4RECTUCT-ND</x:t>
        </x:is>
      </x:c>
      <x:c r="M11" t="n">
        <x:v>0</x:v>
      </x:c>
      <x:c r="N11" s="7" t="n"/>
      <x:c r="P11" s="4" t="str">
        <x:f>IF(O11="","",O11-B11)</x:f>
      </x:c>
      <x:c r="Q11" t="inlineStr">
        <x:is>
          <x:t xml:space="preserve">C8</x:t>
        </x:is>
      </x:c>
    </x:row>
    <x:row r="12" ht="18" customHeight="1">
      <x:c r="A12" s="8" t="inlineStr">
        <x:is>
          <x:t xml:space="preserve">0.33 µF ceramic capacitor, ±10%, X7R, 16 V, 0805 (2012 metric)</x:t>
        </x:is>
      </x:c>
      <x:c r="B12" s="4" t="n">
        <x:v>1</x:v>
      </x:c>
      <x:c r="C12" s="5" t="n">
        <x:v>0</x:v>
      </x:c>
      <x:c r="D12" s="5" t="str">
        <x:f>IF(C12="","",B12*C12)</x:f>
      </x:c>
      <x:c r="E12" s="5" t="n">
        <x:v>0.32</x:v>
      </x:c>
      <x:c r="F12" s="5" t="n">
        <x:f>IF(E12="","",B12*E12)</x:f>
        <x:v>0.32</x:v>
      </x:c>
      <x:c r="G12" t="inlineStr">
        <x:is>
          <x:t xml:space="preserve">KEMET</x:t>
        </x:is>
      </x:c>
      <x:c r="H12" t="inlineStr">
        <x:is>
          <x:t xml:space="preserve">C0805C334K4RACTM</x:t>
        </x:is>
      </x:c>
      <x:c r="I12" t="inlineStr">
        <x:is>
          <x:t xml:space="preserve">https://www.digikey.com/en/products/detail/kemet/C0805C334K4RACTM/29777346</x:t>
        </x:is>
      </x:c>
      <x:c r="J12" t="inlineStr">
        <x:is>
          <x:t xml:space="preserve">https://search.kemet.com/component-documentation/download/specsheet/C0805C334K4RACTM</x:t>
        </x:is>
      </x:c>
      <x:c r="K12" t="inlineStr">
        <x:is>
          <x:t xml:space="preserve">PRLTA 109 (DigiKey cross-reference)</x:t>
        </x:is>
      </x:c>
      <x:c r="L12" t="inlineStr">
        <x:is>
          <x:t xml:space="preserve">399-C0805C334K4RACTMCT-ND</x:t>
        </x:is>
      </x:c>
      <x:c r="M12" t="n">
        <x:v>0</x:v>
      </x:c>
      <x:c r="N12" s="7" t="n"/>
      <x:c r="P12" s="4" t="str">
        <x:f>IF(O12="","",O12-B12)</x:f>
      </x:c>
      <x:c r="Q12" t="inlineStr">
        <x:is>
          <x:t xml:space="preserve">C9</x:t>
        </x:is>
      </x:c>
    </x:row>
    <x:row r="13" ht="18" customHeight="1">
      <x:c r="A13" s="8" t="inlineStr">
        <x:is>
          <x:t xml:space="preserve">1N4148 small-signal switching diode, 75 V, 200 mA, 4 ns reverse recovery, DO-35 axial through-hole</x:t>
        </x:is>
      </x:c>
      <x:c r="B13" s="4" t="n">
        <x:v>3</x:v>
      </x:c>
      <x:c r="C13" s="5" t="n">
        <x:v>0</x:v>
      </x:c>
      <x:c r="D13" s="5" t="str">
        <x:f>IF(C13="","",B13*C13)</x:f>
      </x:c>
      <x:c r="E13" s="5" t="n">
        <x:v>0.18</x:v>
      </x:c>
      <x:c r="F13" s="5" t="n">
        <x:f>IF(E13="","",B13*E13)</x:f>
        <x:v>0.54</x:v>
      </x:c>
      <x:c r="G13" t="inlineStr">
        <x:is>
          <x:t xml:space="preserve">Diotec Semiconductor</x:t>
        </x:is>
      </x:c>
      <x:c r="H13" t="inlineStr">
        <x:is>
          <x:t xml:space="preserve">1N4148</x:t>
        </x:is>
      </x:c>
      <x:c r="I13" t="inlineStr">
        <x:is>
          <x:t xml:space="preserve">https://www.digikey.com/en/products/detail/diotec-semiconductor/1N4148/21380193</x:t>
        </x:is>
      </x:c>
      <x:c r="J13" t="inlineStr">
        <x:is>
          <x:t xml:space="preserve">https://diotec.com/tl_files/diotec/files/pdf/datasheets/1n4148.pdf</x:t>
        </x:is>
      </x:c>
      <x:c r="K13" t="inlineStr">
        <x:is>
          <x:t xml:space="preserve">PRLTA 109 (DigiKey cross-reference)</x:t>
        </x:is>
      </x:c>
      <x:c r="L13" t="inlineStr">
        <x:is>
          <x:t xml:space="preserve">4878-1N4148CT-ND</x:t>
        </x:is>
      </x:c>
      <x:c r="M13" t="n">
        <x:v>0</x:v>
      </x:c>
      <x:c r="N13" s="7" t="n"/>
      <x:c r="P13" s="4" t="str">
        <x:f>IF(O13="","",O13-B13)</x:f>
      </x:c>
      <x:c r="Q13" t="inlineStr">
        <x:is>
          <x:t xml:space="preserve">D1, D2, D3</x:t>
        </x:is>
      </x:c>
    </x:row>
    <x:row r="14" ht="18" customHeight="1">
      <x:c r="A14" s="8" t="str">
        <x:v>Red 621 nm diffused LED, 5 mm T-1 3/4, 2.0 V typical at 10 mA, 36 deg viewing angle, radial through-hole</x:v>
      </x:c>
      <x:c r="B14" s="4" t="n">
        <x:v>1</x:v>
      </x:c>
      <x:c r="C14" s="5" t="n">
        <x:v>0</x:v>
      </x:c>
      <x:c r="D14" s="5"/>
      <x:c r="E14" s="5" t="n">
        <x:v>0.21</x:v>
      </x:c>
      <x:c r="F14" s="5"/>
      <x:c r="G14" t="str">
        <x:v>Lite-On Inc.</x:v>
      </x:c>
      <x:c r="H14" t="str">
        <x:v>LTL-4293</x:v>
      </x:c>
      <x:c r="I14" t="str">
        <x:v>https://www.digikey.com/en/products/detail/lite-on-inc/LTL-4293/3198550</x:v>
      </x:c>
      <x:c r="J14" t="str">
        <x:v>https://media.digikey.com/pdf/Data%20Sheets/Lite-On%20PDFs/LTL-42x3%2C%20x4.pdf</x:v>
      </x:c>
      <x:c r="K14" t="str">
        <x:v>PRLTA 109 (DigiKey cross-reference)</x:v>
      </x:c>
      <x:c r="L14" t="str">
        <x:v>160-1969-ND</x:v>
      </x:c>
      <x:c r="M14" t="n">
        <x:v>0</x:v>
      </x:c>
      <x:c r="N14" s="7" t="n"/>
      <x:c r="P14" s="4" t="str">
        <x:f>IF(O14="","",O14-B14)</x:f>
      </x:c>
      <x:c r="Q14" t="inlineStr">
        <x:is>
          <x:t xml:space="preserve">D4</x:t>
        </x:is>
      </x:c>
    </x:row>
    <x:row r="15" ht="18" customHeight="1">
      <x:c r="A15" s="8" t="inlineStr">
        <x:is>
          <x:t xml:space="preserve">DC barrel power jack, 2.0 mm ID x 5.5 mm OD, right-angle through-hole</x:t>
        </x:is>
      </x:c>
      <x:c r="B15" s="4" t="n">
        <x:v>1</x:v>
      </x:c>
      <x:c r="C15" s="5" t="n">
        <x:v>0</x:v>
      </x:c>
      <x:c r="D15" s="5" t="str">
        <x:f>IF(C15="","",B15*C15)</x:f>
      </x:c>
      <x:c r="E15" s="5" t="n">
        <x:v>0.7</x:v>
      </x:c>
      <x:c r="F15" s="5" t="n">
        <x:f>IF(E15="","",B15*E15)</x:f>
        <x:v>0.7</x:v>
      </x:c>
      <x:c r="G15" t="inlineStr">
        <x:is>
          <x:t xml:space="preserve">Same Sky (formerly CUI Devices)</x:t>
        </x:is>
      </x:c>
      <x:c r="H15" t="inlineStr">
        <x:is>
          <x:t xml:space="preserve">PJ-102A</x:t>
        </x:is>
      </x:c>
      <x:c r="I15" t="inlineStr">
        <x:is>
          <x:t xml:space="preserve">https://www.digikey.com/en/products/detail/same-sky-formerly-cui-devices/PJ-102A/275425</x:t>
        </x:is>
      </x:c>
      <x:c r="J15" t="inlineStr">
        <x:is>
          <x:t xml:space="preserve">https://www.digikey.com/en/products/detail/same-sky-formerly-cui-devices/PJ-102A/275425</x:t>
        </x:is>
      </x:c>
      <x:c r="K15" t="inlineStr">
        <x:is>
          <x:t xml:space="preserve">PRLTA 109 (DigiKey cross-reference)</x:t>
        </x:is>
      </x:c>
      <x:c r="L15" t="inlineStr">
        <x:is>
          <x:t xml:space="preserve">CP-102A-ND</x:t>
        </x:is>
      </x:c>
      <x:c r="M15" t="n">
        <x:v>0</x:v>
      </x:c>
      <x:c r="N15" s="7" t="n"/>
      <x:c r="P15" s="4" t="str">
        <x:f>IF(O15="","",O15-B15)</x:f>
      </x:c>
      <x:c r="Q15" t="inlineStr">
        <x:is>
          <x:t xml:space="preserve">J1</x:t>
        </x:is>
      </x:c>
    </x:row>
    <x:row r="16" ht="18" customHeight="1">
      <x:c r="A16" s="8" t="inlineStr">
        <x:is>
          <x:t xml:space="preserve">4-position single-row male header, 2.54 mm pitch, 3 A/contact, through-hole</x:t>
        </x:is>
      </x:c>
      <x:c r="B16" s="4" t="n">
        <x:v>1</x:v>
      </x:c>
      <x:c r="C16" s="5" t="n">
        <x:v>0</x:v>
      </x:c>
      <x:c r="D16" s="5" t="str">
        <x:f>IF(C16="","",B16*C16)</x:f>
      </x:c>
      <x:c r="E16" s="5" t="n">
        <x:v>0.1</x:v>
      </x:c>
      <x:c r="F16" s="5" t="n">
        <x:f>IF(E16="","",B16*E16)</x:f>
        <x:v>0.1</x:v>
      </x:c>
      <x:c r="G16" t="inlineStr">
        <x:is>
          <x:t xml:space="preserve">Sullins Connector Solutions</x:t>
        </x:is>
      </x:c>
      <x:c r="H16" t="inlineStr">
        <x:is>
          <x:t xml:space="preserve">PRPC004SAAN-RC</x:t>
        </x:is>
      </x:c>
      <x:c r="I16" t="inlineStr">
        <x:is>
          <x:t xml:space="preserve">https://www.digikey.com/en/products/detail/sullins-connector-solutions/PRPC004SAAN-RC/2775250</x:t>
        </x:is>
      </x:c>
      <x:c r="J16" t="inlineStr">
        <x:is>
          <x:t xml:space="preserve">https://www.digikey.com/en/products/detail/sullins-connector-solutions/PRPC004SAAN-RC/2775250</x:t>
        </x:is>
      </x:c>
      <x:c r="K16" t="inlineStr">
        <x:is>
          <x:t xml:space="preserve">PRLTA 109 (DigiKey cross-reference)</x:t>
        </x:is>
      </x:c>
      <x:c r="L16" t="inlineStr">
        <x:is>
          <x:t xml:space="preserve">35-PRPC004SAAN-RC-ND</x:t>
        </x:is>
      </x:c>
      <x:c r="M16" t="n">
        <x:v>0</x:v>
      </x:c>
      <x:c r="N16" s="7" t="n"/>
      <x:c r="P16" s="4" t="str">
        <x:f>IF(O16="","",O16-B16)</x:f>
      </x:c>
      <x:c r="Q16" t="inlineStr">
        <x:is>
          <x:t xml:space="preserve">J3</x:t>
        </x:is>
      </x:c>
    </x:row>
    <x:row r="17" ht="18" customHeight="1">
      <x:c r="A17" s="8" t="inlineStr">
        <x:is>
          <x:t xml:space="preserve">8-position single-row female socket header, 2.54 mm pitch, 3 A/contact, through-hole</x:t>
        </x:is>
      </x:c>
      <x:c r="B17" s="4" t="n">
        <x:v>3</x:v>
      </x:c>
      <x:c r="C17" s="5" t="n">
        <x:v>0</x:v>
      </x:c>
      <x:c r="D17" s="5" t="str">
        <x:f>IF(C17="","",B17*C17)</x:f>
      </x:c>
      <x:c r="E17" s="5" t="n">
        <x:v>0.58</x:v>
      </x:c>
      <x:c r="F17" s="5" t="n">
        <x:f>IF(E17="","",B17*E17)</x:f>
        <x:v>1.7399999999999998</x:v>
      </x:c>
      <x:c r="G17" t="inlineStr">
        <x:is>
          <x:t xml:space="preserve">Sullins Connector Solutions</x:t>
        </x:is>
      </x:c>
      <x:c r="H17" t="inlineStr">
        <x:is>
          <x:t xml:space="preserve">PPTC081LFBN-RC</x:t>
        </x:is>
      </x:c>
      <x:c r="I17" t="inlineStr">
        <x:is>
          <x:t xml:space="preserve">https://www.digikey.com/en/products/detail/sullins-connector-solutions/PPTC081LFBN-RC/810147</x:t>
        </x:is>
      </x:c>
      <x:c r="J17" t="inlineStr">
        <x:is>
          <x:t xml:space="preserve">https://www.digikey.com/en/products/detail/sullins-connector-solutions/PPTC081LFBN-RC/810147</x:t>
        </x:is>
      </x:c>
      <x:c r="K17" t="inlineStr">
        <x:is>
          <x:t xml:space="preserve">PRLTA 109 (DigiKey cross-reference)</x:t>
        </x:is>
      </x:c>
      <x:c r="L17" t="inlineStr">
        <x:is>
          <x:t xml:space="preserve">S7006-ND</x:t>
        </x:is>
      </x:c>
      <x:c r="M17" t="n">
        <x:v>0</x:v>
      </x:c>
      <x:c r="N17" s="7" t="n"/>
      <x:c r="P17" s="4" t="str">
        <x:f>IF(O17="","",O17-B17)</x:f>
      </x:c>
      <x:c r="Q17" t="inlineStr">
        <x:is>
          <x:t xml:space="preserve">J4, J5, J6</x:t>
        </x:is>
      </x:c>
    </x:row>
    <x:row r="18" ht="18" customHeight="1">
      <x:c r="A18" s="8" t="inlineStr">
        <x:is>
          <x:t xml:space="preserve">2-position single-row breakaway male header/jumper, 2.54 mm pitch, through-hole</x:t>
        </x:is>
      </x:c>
      <x:c r="B18" s="4" t="n">
        <x:v>1</x:v>
      </x:c>
      <x:c r="C18" s="5" t="n">
        <x:v>0</x:v>
      </x:c>
      <x:c r="D18" s="5" t="str">
        <x:f>IF(C18="","",B18*C18)</x:f>
      </x:c>
      <x:c r="E18" s="5" t="n">
        <x:v>0.1</x:v>
      </x:c>
      <x:c r="F18" s="5" t="n">
        <x:f>IF(E18="","",B18*E18)</x:f>
        <x:v>0.1</x:v>
      </x:c>
      <x:c r="G18" t="inlineStr">
        <x:is>
          <x:t xml:space="preserve">Sullins Connector Solutions</x:t>
        </x:is>
      </x:c>
      <x:c r="H18" t="inlineStr">
        <x:is>
          <x:t xml:space="preserve">PRPC002SAAN-RC</x:t>
        </x:is>
      </x:c>
      <x:c r="I18" t="inlineStr">
        <x:is>
          <x:t xml:space="preserve">https://www.digikey.com/en/products/detail/sullins-connector-solutions/PRPC002SAAN-RC/2775252</x:t>
        </x:is>
      </x:c>
      <x:c r="J18" t="inlineStr">
        <x:is>
          <x:t xml:space="preserve">https://www.digikey.com/en/products/detail/sullins-connector-solutions/PRPC002SAAN-RC/2775252</x:t>
        </x:is>
      </x:c>
      <x:c r="K18" t="inlineStr">
        <x:is>
          <x:t xml:space="preserve">PRLTA 109 (DigiKey cross-reference)</x:t>
        </x:is>
      </x:c>
      <x:c r="L18" t="inlineStr">
        <x:is>
          <x:t xml:space="preserve">35-PRPC002SAAN-RC-ND</x:t>
        </x:is>
      </x:c>
      <x:c r="M18" t="n">
        <x:v>0</x:v>
      </x:c>
      <x:c r="N18" s="7" t="n"/>
      <x:c r="P18" s="4" t="str">
        <x:f>IF(O18="","",O18-B18)</x:f>
      </x:c>
      <x:c r="Q18" t="inlineStr">
        <x:is>
          <x:t xml:space="preserve">JP1</x:t>
        </x:is>
      </x:c>
    </x:row>
    <x:row r="19" ht="18" customHeight="1">
      <x:c r="A19" s="8" t="inlineStr">
        <x:is>
          <x:t xml:space="preserve">1 kΩ metal-film resistor, 0.25 W, ±1%, axial through-hole</x:t>
        </x:is>
      </x:c>
      <x:c r="B19" s="4" t="n">
        <x:v>1</x:v>
      </x:c>
      <x:c r="C19" s="5" t="n">
        <x:v>0</x:v>
      </x:c>
      <x:c r="D19" s="5" t="str">
        <x:f>IF(C19="","",B19*C19)</x:f>
      </x:c>
      <x:c r="E19" s="5" t="n">
        <x:v>0.11</x:v>
      </x:c>
      <x:c r="F19" s="5" t="n">
        <x:f>IF(E19="","",B19*E19)</x:f>
        <x:v>0.11</x:v>
      </x:c>
      <x:c r="G19" t="inlineStr">
        <x:is>
          <x:t xml:space="preserve">YAGEO</x:t>
        </x:is>
      </x:c>
      <x:c r="H19" t="inlineStr">
        <x:is>
          <x:t xml:space="preserve">MFR-25FRF52-1K</x:t>
        </x:is>
      </x:c>
      <x:c r="I19" t="inlineStr">
        <x:is>
          <x:t xml:space="preserve">https://www.digikey.com/en/products/detail/yageo/MFR-25FRF52-1K/14891</x:t>
        </x:is>
      </x:c>
      <x:c r="J19" t="inlineStr">
        <x:is>
          <x:t xml:space="preserve">https://www.digikey.com/en/products/detail/yageo/MFR-25FRF52-1K/14891</x:t>
        </x:is>
      </x:c>
      <x:c r="K19" t="inlineStr">
        <x:is>
          <x:t xml:space="preserve">PRLTA 109 (DigiKey cross-reference)</x:t>
        </x:is>
      </x:c>
      <x:c r="L19" t="inlineStr">
        <x:is>
          <x:t xml:space="preserve">13-MFR-25FRF52-1KCT-ND</x:t>
        </x:is>
      </x:c>
      <x:c r="M19" t="n">
        <x:v>0</x:v>
      </x:c>
      <x:c r="N19" s="7" t="n"/>
      <x:c r="P19" s="4" t="str">
        <x:f>IF(O19="","",O19-B19)</x:f>
      </x:c>
      <x:c r="Q19" t="inlineStr">
        <x:is>
          <x:t xml:space="preserve">R1</x:t>
        </x:is>
      </x:c>
    </x:row>
    <x:row r="20" ht="18" customHeight="1">
      <x:c r="A20" s="8" t="inlineStr">
        <x:is>
          <x:t xml:space="preserve">10 kΩ metal-film resistor, 0.25 W, ±1%, axial through-hole</x:t>
        </x:is>
      </x:c>
      <x:c r="B20" s="4" t="n">
        <x:v>8</x:v>
      </x:c>
      <x:c r="C20" s="5" t="n">
        <x:v>0</x:v>
      </x:c>
      <x:c r="D20" s="5" t="str">
        <x:f>IF(C20="","",B20*C20)</x:f>
      </x:c>
      <x:c r="E20" s="5" t="n">
        <x:v>0.1</x:v>
      </x:c>
      <x:c r="F20" s="5" t="n">
        <x:f>IF(E20="","",B20*E20)</x:f>
        <x:v>0.8</x:v>
      </x:c>
      <x:c r="G20" t="inlineStr">
        <x:is>
          <x:t xml:space="preserve">YAGEO</x:t>
        </x:is>
      </x:c>
      <x:c r="H20" t="inlineStr">
        <x:is>
          <x:t xml:space="preserve">MFR-25FRF52-10K</x:t>
        </x:is>
      </x:c>
      <x:c r="I20" t="inlineStr">
        <x:is>
          <x:t xml:space="preserve">https://www.digikey.com/en/products/detail/yageo/MFR-25FRF52-10K/14626</x:t>
        </x:is>
      </x:c>
      <x:c r="J20" t="inlineStr">
        <x:is>
          <x:t xml:space="preserve">https://www.digikey.com/en/products/detail/yageo/MFR-25FRF52-10K/14626</x:t>
        </x:is>
      </x:c>
      <x:c r="K20" t="inlineStr">
        <x:is>
          <x:t xml:space="preserve">PRLTA 109 (DigiKey cross-reference)</x:t>
        </x:is>
      </x:c>
      <x:c r="L20" t="inlineStr">
        <x:is>
          <x:t xml:space="preserve">13-MFR-25FRF52-10KCT-ND</x:t>
        </x:is>
      </x:c>
      <x:c r="M20" t="n">
        <x:v>0</x:v>
      </x:c>
      <x:c r="N20" s="7" t="n"/>
      <x:c r="P20" s="4" t="str">
        <x:f>IF(O20="","",O20-B20)</x:f>
      </x:c>
      <x:c r="Q20" t="inlineStr">
        <x:is>
          <x:t xml:space="preserve">R2, R4, R5, R6, R11, R12, R13, R14</x:t>
        </x:is>
      </x:c>
    </x:row>
    <x:row r="21" ht="18" customHeight="1">
      <x:c r="A21" s="8" t="inlineStr">
        <x:is>
          <x:t xml:space="preserve">390 kΩ metal-film resistor, 0.25 W, ±1%, axial through-hole</x:t>
        </x:is>
      </x:c>
      <x:c r="B21" s="4" t="n">
        <x:v>1</x:v>
      </x:c>
      <x:c r="C21" s="5" t="n">
        <x:v>0</x:v>
      </x:c>
      <x:c r="D21" s="5" t="str">
        <x:f>IF(C21="","",B21*C21)</x:f>
      </x:c>
      <x:c r="E21" s="5" t="n">
        <x:v>0.1</x:v>
      </x:c>
      <x:c r="F21" s="5" t="n">
        <x:f>IF(E21="","",B21*E21)</x:f>
        <x:v>0.1</x:v>
      </x:c>
      <x:c r="G21" t="inlineStr">
        <x:is>
          <x:t xml:space="preserve">YAGEO</x:t>
        </x:is>
      </x:c>
      <x:c r="H21" t="inlineStr">
        <x:is>
          <x:t xml:space="preserve">MFR-25FRF52-390K</x:t>
        </x:is>
      </x:c>
      <x:c r="I21" t="inlineStr">
        <x:is>
          <x:t xml:space="preserve">https://www.digikey.com/en/products/detail/yageo/MFR-25FRF52-390K/9139008</x:t>
        </x:is>
      </x:c>
      <x:c r="J21" t="inlineStr">
        <x:is>
          <x:t xml:space="preserve">https://www.digikey.com/en/products/detail/yageo/MFR-25FRF52-390K/9139008</x:t>
        </x:is>
      </x:c>
      <x:c r="K21" t="inlineStr">
        <x:is>
          <x:t xml:space="preserve">PRLTA 109 (DigiKey cross-reference)</x:t>
        </x:is>
      </x:c>
      <x:c r="L21" t="inlineStr">
        <x:is>
          <x:t xml:space="preserve">13-MFR-25FRF52-390KCT-ND</x:t>
        </x:is>
      </x:c>
      <x:c r="M21" t="n">
        <x:v>0</x:v>
      </x:c>
      <x:c r="N21" s="7" t="n"/>
      <x:c r="P21" s="4" t="str">
        <x:f>IF(O21="","",O21-B21)</x:f>
      </x:c>
      <x:c r="Q21" t="inlineStr">
        <x:is>
          <x:t xml:space="preserve">R3</x:t>
        </x:is>
      </x:c>
    </x:row>
    <x:row r="22" ht="18" customHeight="1">
      <x:c r="A22" s="8" t="inlineStr">
        <x:is>
          <x:t xml:space="preserve">330 Ω metal-film resistor, 0.25 W, ±1%, axial through-hole</x:t>
        </x:is>
      </x:c>
      <x:c r="B22" s="4" t="n">
        <x:v>1</x:v>
      </x:c>
      <x:c r="C22" s="5" t="n">
        <x:v>0</x:v>
      </x:c>
      <x:c r="D22" s="5" t="str">
        <x:f>IF(C22="","",B22*C22)</x:f>
      </x:c>
      <x:c r="E22" s="5" t="n">
        <x:v>0.1</x:v>
      </x:c>
      <x:c r="F22" s="5" t="n">
        <x:f>IF(E22="","",B22*E22)</x:f>
        <x:v>0.1</x:v>
      </x:c>
      <x:c r="G22" t="inlineStr">
        <x:is>
          <x:t xml:space="preserve">YAGEO</x:t>
        </x:is>
      </x:c>
      <x:c r="H22" t="inlineStr">
        <x:is>
          <x:t xml:space="preserve">MFR-25FRF52-330R</x:t>
        </x:is>
      </x:c>
      <x:c r="I22" t="inlineStr">
        <x:is>
          <x:t xml:space="preserve">https://www.digikey.com/en/products/detail/yageo/MFR-25FRF52-330R/9139001</x:t>
        </x:is>
      </x:c>
      <x:c r="J22" t="inlineStr">
        <x:is>
          <x:t xml:space="preserve">https://www.digikey.com/en/products/detail/yageo/MFR-25FRF52-330R/9139001</x:t>
        </x:is>
      </x:c>
      <x:c r="K22" t="inlineStr">
        <x:is>
          <x:t xml:space="preserve">PRLTA 109 (DigiKey cross-reference)</x:t>
        </x:is>
      </x:c>
      <x:c r="L22" t="inlineStr">
        <x:is>
          <x:t xml:space="preserve">13-MFR-25FRF52-330RCT-ND</x:t>
        </x:is>
      </x:c>
      <x:c r="M22" t="n">
        <x:v>0</x:v>
      </x:c>
      <x:c r="N22" s="7" t="n"/>
      <x:c r="P22" s="4" t="str">
        <x:f>IF(O22="","",O22-B22)</x:f>
      </x:c>
      <x:c r="Q22" t="inlineStr">
        <x:is>
          <x:t xml:space="preserve">R7</x:t>
        </x:is>
      </x:c>
    </x:row>
    <x:row r="23" ht="18" customHeight="1">
      <x:c r="A23" s="8" t="inlineStr">
        <x:is>
          <x:t xml:space="preserve">10 kΩ metal-film resistor, 0.25 W, ±1%, axial through-hole</x:t>
        </x:is>
      </x:c>
      <x:c r="B23" s="4" t="n">
        <x:v>1</x:v>
      </x:c>
      <x:c r="C23" s="5" t="n">
        <x:v>0</x:v>
      </x:c>
      <x:c r="D23" s="5" t="str">
        <x:f>IF(C23="","",B23*C23)</x:f>
      </x:c>
      <x:c r="E23" s="5" t="n">
        <x:v>0.1</x:v>
      </x:c>
      <x:c r="F23" s="5" t="n">
        <x:f>IF(E23="","",B23*E23)</x:f>
        <x:v>0.1</x:v>
      </x:c>
      <x:c r="G23" t="inlineStr">
        <x:is>
          <x:t xml:space="preserve">YAGEO</x:t>
        </x:is>
      </x:c>
      <x:c r="H23" t="inlineStr">
        <x:is>
          <x:t xml:space="preserve">MFR-25FRF52-10K</x:t>
        </x:is>
      </x:c>
      <x:c r="I23" t="inlineStr">
        <x:is>
          <x:t xml:space="preserve">https://www.digikey.com/en/products/detail/yageo/MFR-25FRF52-10K/14626</x:t>
        </x:is>
      </x:c>
      <x:c r="J23" t="inlineStr">
        <x:is>
          <x:t xml:space="preserve">https://www.digikey.com/en/products/detail/yageo/MFR-25FRF52-10K/14626</x:t>
        </x:is>
      </x:c>
      <x:c r="K23" t="inlineStr">
        <x:is>
          <x:t xml:space="preserve">PRLTA 109 (DigiKey cross-reference)</x:t>
        </x:is>
      </x:c>
      <x:c r="L23" t="inlineStr">
        <x:is>
          <x:t xml:space="preserve">13-MFR-25FRF52-10KCT-ND</x:t>
        </x:is>
      </x:c>
      <x:c r="M23" t="n">
        <x:v>0</x:v>
      </x:c>
      <x:c r="N23" s="7" t="n"/>
      <x:c r="P23" s="4" t="str">
        <x:f>IF(O23="","",O23-B23)</x:f>
      </x:c>
      <x:c r="Q23" t="inlineStr">
        <x:is>
          <x:t xml:space="preserve">R8</x:t>
        </x:is>
      </x:c>
    </x:row>
    <x:row r="24" ht="18" customHeight="1">
      <x:c r="A24" s="8" t="inlineStr">
        <x:is>
          <x:t xml:space="preserve">Tactile pushbutton switch, SPST-NO, 50 mA at 24 VDC, 6 x 6 mm, through-hole</x:t>
        </x:is>
      </x:c>
      <x:c r="B24" s="4" t="n">
        <x:v>1</x:v>
      </x:c>
      <x:c r="C24" s="5" t="n">
        <x:v>0</x:v>
      </x:c>
      <x:c r="D24" s="5" t="str">
        <x:f>IF(C24="","",B24*C24)</x:f>
      </x:c>
      <x:c r="E24" s="5" t="n">
        <x:v>0.35</x:v>
      </x:c>
      <x:c r="F24" s="5" t="n">
        <x:f>IF(E24="","",B24*E24)</x:f>
        <x:v>0.35</x:v>
      </x:c>
      <x:c r="G24" t="inlineStr">
        <x:is>
          <x:t xml:space="preserve">Aratas (formerly Omron Components)</x:t>
        </x:is>
      </x:c>
      <x:c r="H24" t="inlineStr">
        <x:is>
          <x:t xml:space="preserve">B3F-1000</x:t>
        </x:is>
      </x:c>
      <x:c r="I24" t="inlineStr">
        <x:is>
          <x:t xml:space="preserve">https://www.digikey.com/en/products/detail/omron-electronics-inc-emc-div/B3F-1000/33150</x:t>
        </x:is>
      </x:c>
      <x:c r="J24" t="inlineStr">
        <x:is>
          <x:t xml:space="preserve">https://www.digikey.com/en/products/detail/omron-electronics-inc-emc-div/B3F-1000/33150</x:t>
        </x:is>
      </x:c>
      <x:c r="K24" t="inlineStr">
        <x:is>
          <x:t xml:space="preserve">PRLTA 109 (DigiKey cross-reference)</x:t>
        </x:is>
      </x:c>
      <x:c r="L24" t="inlineStr">
        <x:is>
          <x:t xml:space="preserve">SW400-ND</x:t>
        </x:is>
      </x:c>
      <x:c r="M24" t="n">
        <x:v>0</x:v>
      </x:c>
      <x:c r="N24" s="7" t="n"/>
      <x:c r="P24" s="4" t="str">
        <x:f>IF(O24="","",O24-B24)</x:f>
      </x:c>
      <x:c r="Q24" t="inlineStr">
        <x:is>
          <x:t xml:space="preserve">SW1</x:t>
        </x:is>
      </x:c>
    </x:row>
    <x:row r="25" ht="18" customHeight="1">
      <x:c r="A25" s="8" t="inlineStr">
        <x:is>
          <x:t xml:space="preserve">Fast-acting cartridge fuse, 1 A, 250 V AC</x:t>
        </x:is>
      </x:c>
      <x:c r="B25" s="4" t="n">
        <x:v>1</x:v>
      </x:c>
      <x:c r="C25" s="5" t="n">
        <x:v>1.01</x:v>
      </x:c>
      <x:c r="D25" s="5" t="n">
        <x:f>IF(C25="","",B25*C25)</x:f>
        <x:v>1.01</x:v>
      </x:c>
      <x:c r="E25" s="5" t="n">
        <x:v>0.593</x:v>
      </x:c>
      <x:c r="F25" s="5" t="n">
        <x:f>IF(E25="","",B25*E25)</x:f>
        <x:v>0.593</x:v>
      </x:c>
      <x:c r="G25" t="inlineStr">
        <x:is>
          <x:t xml:space="preserve">Conquer</x:t>
        </x:is>
      </x:c>
      <x:c r="H25" t="inlineStr">
        <x:is>
          <x:t xml:space="preserve">MSF 1A 250V</x:t>
        </x:is>
      </x:c>
      <x:c r="I25" t="inlineStr">
        <x:is>
          <x:t xml:space="preserve">https://www.digikey.com/en/products/detail/conquer/MSF-1A-250V/16928241</x:t>
        </x:is>
      </x:c>
      <x:c r="J25" t="inlineStr">
        <x:is>
          <x:t xml:space="preserve">https://www.digikey.com/en/products/detail/conquer/MSF-1A-250V/16928241</x:t>
        </x:is>
      </x:c>
      <x:c r="K25" t="inlineStr">
        <x:is>
          <x:t xml:space="preserve">DigiKey</x:t>
        </x:is>
      </x:c>
      <x:c r="L25" t="inlineStr">
        <x:is>
          <x:t xml:space="preserve">4598-MSF1A250VCT-ND</x:t>
        </x:is>
      </x:c>
      <x:c r="N25" s="7" t="n"/>
      <x:c r="P25" s="4" t="str">
        <x:f>IF(O25="","",O25-B25)</x:f>
      </x:c>
      <x:c r="Q25" t="inlineStr">
        <x:is>
          <x:t xml:space="preserve">F2</x:t>
        </x:is>
      </x:c>
    </x:row>
    <x:row r="26" ht="18" customHeight="1">
      <x:c r="A26" s="8" t="inlineStr">
        <x:is>
          <x:t xml:space="preserve">PCB test point, compact through-hole loop terminal</x:t>
        </x:is>
      </x:c>
      <x:c r="B26" s="4" t="n">
        <x:v>5</x:v>
      </x:c>
      <x:c r="C26" s="5" t="n">
        <x:v>0.3</x:v>
      </x:c>
      <x:c r="D26" s="5" t="n">
        <x:f>IF(C26="","",B26*C26)</x:f>
        <x:v>1.5</x:v>
      </x:c>
      <x:c r="E26" s="5" t="n">
        <x:v>0.19</x:v>
      </x:c>
      <x:c r="F26" s="5" t="n">
        <x:f>IF(E26="","",B26*E26)</x:f>
        <x:v>0.95</x:v>
      </x:c>
      <x:c r="G26" t="inlineStr">
        <x:is>
          <x:t xml:space="preserve">Keystone Electronics</x:t>
        </x:is>
      </x:c>
      <x:c r="H26" t="inlineStr">
        <x:is>
          <x:t xml:space="preserve">5010</x:t>
        </x:is>
      </x:c>
      <x:c r="I26" t="inlineStr">
        <x:is>
          <x:t xml:space="preserve">https://www.digikey.com/en/products/detail/keystone-electronics/5010/255332</x:t>
        </x:is>
      </x:c>
      <x:c r="J26" t="inlineStr">
        <x:is>
          <x:t xml:space="preserve">https://www.jameco.com/Jameco/Products/ProdDS/1582065.pdf</x:t>
        </x:is>
      </x:c>
      <x:c r="K26" t="inlineStr">
        <x:is>
          <x:t xml:space="preserve">DigiKey</x:t>
        </x:is>
      </x:c>
      <x:c r="L26" t="inlineStr">
        <x:is>
          <x:t xml:space="preserve">36-5010-ND</x:t>
        </x:is>
      </x:c>
      <x:c r="N26" s="7" t="n"/>
      <x:c r="P26" s="4" t="str">
        <x:f>IF(O26="","",O26-B26)</x:f>
      </x:c>
      <x:c r="Q26" t="inlineStr">
        <x:is>
          <x:t xml:space="preserve">TP1, TP2, TP3, TP4, TP5</x:t>
        </x:is>
      </x:c>
    </x:row>
    <x:row r="27" ht="18" customHeight="1">
      <x:c r="A27" s="8" t="inlineStr">
        <x:is>
          <x:t xml:space="preserve">PIC18F57Q43 Curiosity Nano evaluation/development board</x:t>
        </x:is>
      </x:c>
      <x:c r="B27" s="4" t="n">
        <x:v>1</x:v>
      </x:c>
      <x:c r="C27" s="5" t="n">
        <x:v>10.61</x:v>
      </x:c>
      <x:c r="D27" s="5" t="n">
        <x:f>IF(C27="","",B27*C27)</x:f>
        <x:v>10.61</x:v>
      </x:c>
      <x:c r="E27" s="5" t="n">
        <x:v>10.61</x:v>
      </x:c>
      <x:c r="F27" s="5" t="n">
        <x:f>IF(E27="","",B27*E27)</x:f>
        <x:v>10.61</x:v>
      </x:c>
      <x:c r="G27" t="inlineStr">
        <x:is>
          <x:t xml:space="preserve">Microchip Technology</x:t>
        </x:is>
      </x:c>
      <x:c r="H27" t="inlineStr">
        <x:is>
          <x:t xml:space="preserve">DM164150</x:t>
        </x:is>
      </x:c>
      <x:c r="I27" t="inlineStr">
        <x:is>
          <x:t xml:space="preserve">https://www.digikey.com/en/products/detail/microchip-technology/DM164150/11586705</x:t>
        </x:is>
      </x:c>
      <x:c r="J27" t="inlineStr">
        <x:is>
          <x:t xml:space="preserve">https://ww1.microchip.com/downloads/aemDocuments/documents/MCU08/ProductDocuments/UserGuides/PIC18F57Q43-Curiosity-Nano-HW-UserGuide-DS40002186B.pdf</x:t>
        </x:is>
      </x:c>
      <x:c r="K27" t="inlineStr">
        <x:is>
          <x:t xml:space="preserve">DigiKey</x:t>
        </x:is>
      </x:c>
      <x:c r="L27" t="inlineStr">
        <x:is>
          <x:t xml:space="preserve">150-DM164150-ND</x:t>
        </x:is>
      </x:c>
      <x:c r="N27" s="7" t="n"/>
      <x:c r="P27" s="4" t="str">
        <x:f>IF(O27="","",O27-B27)</x:f>
      </x:c>
      <x:c r="Q27" t="inlineStr">
        <x:is>
          <x:t xml:space="preserve">U3</x:t>
        </x:is>
      </x:c>
    </x:row>
    <x:row r="28" ht="18" customHeight="1">
      <x:c r="A28" s="8" t="str">
        <x:v>LM7805 fixed 5 V positive linear regulator, 1.5 A, 35 V max input, TO-220-3 through-hole</x:v>
      </x:c>
      <x:c r="B28" s="4" t="n">
        <x:v>1</x:v>
      </x:c>
      <x:c r="C28" s="5" t="n">
        <x:v>1.74</x:v>
      </x:c>
      <x:c r="D28" s="5"/>
      <x:c r="E28" s="5" t="n">
        <x:v>1.74</x:v>
      </x:c>
      <x:c r="F28" s="5"/>
      <x:c r="G28" t="str">
        <x:v>Fairchild Semiconductor</x:v>
      </x:c>
      <x:c r="H28" t="str">
        <x:v>LM7805CT</x:v>
      </x:c>
      <x:c r="I28" t="str">
        <x:v>https://www.digikey.com/en/products/detail/fairchild-semiconductor/LM7805CT/12600247</x:v>
      </x:c>
      <x:c r="J28" t="str">
        <x:v>https://media.digikey.com/pdf/Data%20Sheets/Fairchild%20PDFs/LM7805%20Rev2010.pdf</x:v>
      </x:c>
      <x:c r="K28" t="str">
        <x:v>DigiKey Marketplace / Rochester Electronics</x:v>
      </x:c>
      <x:c r="L28" t="str">
        <x:v>2156-LM7805CT-ND</x:v>
      </x:c>
      <x:c r="N28" s="7" t="n"/>
      <x:c r="P28" s="4" t="str">
        <x:f>IF(O28="","",O28-B28)</x:f>
      </x:c>
      <x:c r="Q28" t="inlineStr">
        <x:is>
          <x:t xml:space="preserve">U4</x:t>
        </x:is>
      </x:c>
    </x:row>
  </x:sheetData>
  <x:mergeCells>
    <x:mergeCell ref="A1:Q1"/>
  </x:mergeCells>
  <x:hyperlinks>
    <x:hyperlink xmlns:r="http://schemas.openxmlformats.org/officeDocument/2006/relationships" ref="I3" r:id="R10c40d2e3fdf42f8"/>
    <x:hyperlink xmlns:r="http://schemas.openxmlformats.org/officeDocument/2006/relationships" ref="I4" r:id="R9c06c384acec4e25"/>
    <x:hyperlink xmlns:r="http://schemas.openxmlformats.org/officeDocument/2006/relationships" ref="J4" r:id="Rce63f6c0278c45d8"/>
    <x:hyperlink xmlns:r="http://schemas.openxmlformats.org/officeDocument/2006/relationships" ref="I5" r:id="R19bd12dcd56c4dec"/>
    <x:hyperlink xmlns:r="http://schemas.openxmlformats.org/officeDocument/2006/relationships" ref="J5" r:id="R4354ea78d46b45af"/>
    <x:hyperlink xmlns:r="http://schemas.openxmlformats.org/officeDocument/2006/relationships" ref="I6" r:id="R60d3c68f677143ae"/>
    <x:hyperlink xmlns:r="http://schemas.openxmlformats.org/officeDocument/2006/relationships" ref="J6" r:id="Rcf3b38a038214d9c"/>
  </x:hyperlinks>
  <x:pageMargins left="0.7" right="0.7" top="0.75" bottom="0.75" header="0.3" footer="0.3"/>
</x:worksheet>
</file>