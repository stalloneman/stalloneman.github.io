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Budget" sheetId="1" state="visible" r:id="rId1"/>
  </sheets>
  <definedNames>
    <definedName name="_xlnm.Print_Titles" localSheetId="0">'Power Budget'!$1:$5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000000"/>
      <sz val="12"/>
    </font>
    <font>
      <name val="Calibri"/>
      <color rgb="00000000"/>
      <sz val="12"/>
    </font>
    <font>
      <name val="Calibri"/>
      <color rgb="00000000"/>
      <sz val="11"/>
    </font>
    <font>
      <name val="Calibri"/>
      <b val="1"/>
      <color rgb="00000000"/>
      <sz val="10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C45AD4"/>
      </patternFill>
    </fill>
    <fill>
      <patternFill patternType="solid">
        <fgColor rgb="00F2F2F2"/>
      </patternFill>
    </fill>
    <fill>
      <patternFill patternType="solid">
        <fgColor rgb="00F4F0E6"/>
      </patternFill>
    </fill>
    <fill>
      <patternFill patternType="solid">
        <fgColor rgb="00FFF2CC"/>
      </patternFill>
    </fill>
    <fill>
      <patternFill patternType="solid">
        <fgColor rgb="00FFF59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center"/>
    </xf>
    <xf numFmtId="0" fontId="0" fillId="3" borderId="1" pivotButton="0" quotePrefix="0" xfId="0"/>
    <xf numFmtId="2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6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/>
    </xf>
    <xf numFmtId="0" fontId="0" fillId="5" borderId="1" pivotButton="0" quotePrefix="0" xfId="0"/>
    <xf numFmtId="2" fontId="6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6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8" customWidth="1" min="3" max="3"/>
    <col width="24" customWidth="1" min="4" max="4"/>
    <col width="18" customWidth="1" min="5" max="5"/>
    <col width="32" customWidth="1" min="6" max="6"/>
    <col width="22" customWidth="1" min="7" max="7"/>
    <col width="12" customWidth="1" min="8" max="8"/>
  </cols>
  <sheetData>
    <row r="1" ht="32" customHeight="1">
      <c r="A1" s="1" t="inlineStr">
        <is>
          <t>Power Budget — RadioLink Hub</t>
        </is>
      </c>
    </row>
    <row r="2">
      <c r="A2" s="2" t="inlineStr">
        <is>
          <t>Team Number:</t>
        </is>
      </c>
      <c r="B2" s="3" t="inlineStr">
        <is>
          <t>105</t>
        </is>
      </c>
    </row>
    <row r="3">
      <c r="A3" s="2" t="inlineStr">
        <is>
          <t>Project Name:</t>
        </is>
      </c>
      <c r="B3" s="3" t="inlineStr">
        <is>
          <t>RadioLink</t>
        </is>
      </c>
    </row>
    <row r="4">
      <c r="A4" s="2" t="inlineStr">
        <is>
          <t>Team Member:</t>
        </is>
      </c>
      <c r="B4" s="3" t="inlineStr">
        <is>
          <t>Sultan Haidar Ali</t>
        </is>
      </c>
    </row>
    <row r="5">
      <c r="A5" s="2" t="inlineStr">
        <is>
          <t>Version:</t>
        </is>
      </c>
      <c r="B5" s="3" t="inlineStr">
        <is>
          <t>1</t>
        </is>
      </c>
    </row>
    <row r="7" ht="36" customHeight="1">
      <c r="A7" s="4" t="inlineStr">
        <is>
          <t>Active devices on the hub. Regulators, the 9 V source, resistors, and capacitors are budgeted on the rails below. The microphone, button, and speaker boards are not loads on this sheet.</t>
        </is>
      </c>
    </row>
    <row r="8" ht="22" customHeight="1">
      <c r="A8" s="5" t="inlineStr">
        <is>
          <t>Section</t>
        </is>
      </c>
      <c r="B8" s="5" t="inlineStr">
        <is>
          <t>Component Name</t>
        </is>
      </c>
      <c r="C8" s="5" t="inlineStr">
        <is>
          <t>Part Number</t>
        </is>
      </c>
      <c r="D8" s="5" t="inlineStr">
        <is>
          <t>Supply Voltage Range</t>
        </is>
      </c>
      <c r="E8" s="5" t="inlineStr">
        <is>
          <t>Qty.</t>
        </is>
      </c>
      <c r="F8" s="5" t="inlineStr">
        <is>
          <t>Absolute Maximum Current (mA)</t>
        </is>
      </c>
      <c r="G8" s="5" t="inlineStr">
        <is>
          <t>Total Current (mA)</t>
        </is>
      </c>
      <c r="H8" s="5" t="inlineStr">
        <is>
          <t>Unit</t>
        </is>
      </c>
    </row>
    <row r="9" ht="22" customHeight="1">
      <c r="A9" s="6" t="inlineStr">
        <is>
          <t>All Major Components</t>
        </is>
      </c>
      <c r="B9" s="7" t="inlineStr">
        <is>
          <t>PIC18F57Q43 Curiosity Nano</t>
        </is>
      </c>
      <c r="C9" s="7" t="inlineStr">
        <is>
          <t>PIC18F57Q43</t>
        </is>
      </c>
      <c r="D9" s="8" t="inlineStr">
        <is>
          <t>1.8–5.5 V</t>
        </is>
      </c>
      <c r="E9" s="8" t="n">
        <v>1</v>
      </c>
      <c r="F9" s="8" t="n">
        <v>15</v>
      </c>
      <c r="G9" s="8">
        <f>E9*F9</f>
        <v/>
      </c>
      <c r="H9" s="8" t="inlineStr">
        <is>
          <t>mA</t>
        </is>
      </c>
    </row>
    <row r="10" ht="22" customHeight="1">
      <c r="A10" s="7" t="inlineStr"/>
      <c r="B10" s="7" t="inlineStr">
        <is>
          <t>128x64 SSD1306 OLED</t>
        </is>
      </c>
      <c r="C10" s="7" t="inlineStr">
        <is>
          <t>UG-2864HSWEG01</t>
        </is>
      </c>
      <c r="D10" s="8" t="inlineStr">
        <is>
          <t>2.8–3.3 V</t>
        </is>
      </c>
      <c r="E10" s="8" t="n">
        <v>1</v>
      </c>
      <c r="F10" s="8" t="n">
        <v>33</v>
      </c>
      <c r="G10" s="8">
        <f>E10*F10</f>
        <v/>
      </c>
      <c r="H10" s="8" t="inlineStr">
        <is>
          <t>mA</t>
        </is>
      </c>
    </row>
    <row r="11" ht="22" customHeight="1">
      <c r="A11" s="7" t="inlineStr"/>
      <c r="B11" s="7" t="inlineStr">
        <is>
          <t>Debug LED</t>
        </is>
      </c>
      <c r="C11" s="7" t="inlineStr">
        <is>
          <t>D4, R7 = 330 ohm</t>
        </is>
      </c>
      <c r="D11" s="8" t="inlineStr">
        <is>
          <t>5 V</t>
        </is>
      </c>
      <c r="E11" s="8" t="n">
        <v>1</v>
      </c>
      <c r="F11" s="8" t="n">
        <v>10</v>
      </c>
      <c r="G11" s="8">
        <f>E11*F11</f>
        <v/>
      </c>
      <c r="H11" s="8" t="inlineStr">
        <is>
          <t>mA</t>
        </is>
      </c>
    </row>
    <row r="12" ht="22" customHeight="1"/>
    <row r="13" ht="22" customHeight="1">
      <c r="A13" s="5" t="inlineStr">
        <is>
          <t>Section</t>
        </is>
      </c>
      <c r="B13" s="5" t="inlineStr">
        <is>
          <t>Component Name</t>
        </is>
      </c>
      <c r="C13" s="5" t="inlineStr">
        <is>
          <t>Part Number</t>
        </is>
      </c>
      <c r="D13" s="5" t="inlineStr">
        <is>
          <t>Supply Voltage Range</t>
        </is>
      </c>
      <c r="E13" s="5" t="inlineStr">
        <is>
          <t>Qty.</t>
        </is>
      </c>
      <c r="F13" s="5" t="inlineStr">
        <is>
          <t>Absolute Maximum Current (mA)</t>
        </is>
      </c>
      <c r="G13" s="5" t="inlineStr">
        <is>
          <t>Total Current (mA)</t>
        </is>
      </c>
      <c r="H13" s="5" t="inlineStr">
        <is>
          <t>Unit</t>
        </is>
      </c>
    </row>
    <row r="14" ht="22" customHeight="1">
      <c r="A14" s="6" t="inlineStr">
        <is>
          <t>+5 V Power Rail</t>
        </is>
      </c>
      <c r="B14" s="7" t="inlineStr">
        <is>
          <t>PIC18F57Q43 Curiosity Nano</t>
        </is>
      </c>
      <c r="C14" s="7" t="inlineStr">
        <is>
          <t>PIC18F57Q43</t>
        </is>
      </c>
      <c r="D14" s="8" t="inlineStr">
        <is>
          <t>5 V</t>
        </is>
      </c>
      <c r="E14" s="8" t="n">
        <v>1</v>
      </c>
      <c r="F14" s="8">
        <f>F9</f>
        <v/>
      </c>
      <c r="G14" s="8">
        <f>E14*F14</f>
        <v/>
      </c>
      <c r="H14" s="8" t="inlineStr">
        <is>
          <t>mA</t>
        </is>
      </c>
    </row>
    <row r="15" ht="22" customHeight="1">
      <c r="A15" s="7" t="inlineStr"/>
      <c r="B15" s="7" t="inlineStr">
        <is>
          <t>Debug LED</t>
        </is>
      </c>
      <c r="C15" s="7" t="inlineStr">
        <is>
          <t>D4, R7 = 330 ohm</t>
        </is>
      </c>
      <c r="D15" s="8" t="inlineStr">
        <is>
          <t>5 V</t>
        </is>
      </c>
      <c r="E15" s="8" t="n">
        <v>1</v>
      </c>
      <c r="F15" s="8">
        <f>F11</f>
        <v/>
      </c>
      <c r="G15" s="8">
        <f>E15*F15</f>
        <v/>
      </c>
      <c r="H15" s="8" t="inlineStr">
        <is>
          <t>mA</t>
        </is>
      </c>
    </row>
    <row r="16" ht="22" customHeight="1">
      <c r="A16" s="7" t="inlineStr"/>
      <c r="B16" s="7" t="inlineStr">
        <is>
          <t>Current into 3.3 V LDO</t>
        </is>
      </c>
      <c r="C16" s="7" t="inlineStr">
        <is>
          <t>U2 input</t>
        </is>
      </c>
      <c r="D16" s="8" t="inlineStr">
        <is>
          <t>5 V</t>
        </is>
      </c>
      <c r="E16" s="8" t="n">
        <v>1</v>
      </c>
      <c r="F16" s="8">
        <f>F10</f>
        <v/>
      </c>
      <c r="G16" s="8">
        <f>E16*F16</f>
        <v/>
      </c>
      <c r="H16" s="8" t="inlineStr">
        <is>
          <t>mA</t>
        </is>
      </c>
    </row>
    <row r="17" ht="22" customHeight="1">
      <c r="A17" s="9" t="inlineStr">
        <is>
          <t>Subtotal</t>
        </is>
      </c>
      <c r="B17" s="10" t="n"/>
      <c r="C17" s="10" t="n"/>
      <c r="D17" s="10" t="n"/>
      <c r="E17" s="10" t="n"/>
      <c r="F17" s="10" t="n"/>
      <c r="G17" s="11">
        <f>SUM(G14:G16)</f>
        <v/>
      </c>
      <c r="H17" s="12" t="inlineStr">
        <is>
          <t>mA</t>
        </is>
      </c>
    </row>
    <row r="18" ht="22" customHeight="1">
      <c r="A18" s="9" t="inlineStr">
        <is>
          <t>Safety Margin</t>
        </is>
      </c>
      <c r="B18" s="10" t="n"/>
      <c r="C18" s="10" t="n"/>
      <c r="D18" s="10" t="n"/>
      <c r="E18" s="10" t="n"/>
      <c r="F18" s="10" t="n"/>
      <c r="G18" s="13" t="n">
        <v>0.25</v>
      </c>
      <c r="H18" s="12" t="inlineStr"/>
    </row>
    <row r="19" ht="22" customHeight="1">
      <c r="A19" s="9" t="inlineStr">
        <is>
          <t>Total Current Required on +5 V Rail</t>
        </is>
      </c>
      <c r="B19" s="10" t="n"/>
      <c r="C19" s="10" t="n"/>
      <c r="D19" s="10" t="n"/>
      <c r="E19" s="10" t="n"/>
      <c r="F19" s="10" t="n"/>
      <c r="G19" s="11">
        <f>G17*(1+G18)</f>
        <v/>
      </c>
      <c r="H19" s="12" t="inlineStr">
        <is>
          <t>mA</t>
        </is>
      </c>
    </row>
    <row r="20" ht="22" customHeight="1">
      <c r="A20" s="6" t="inlineStr">
        <is>
          <t>Regulator</t>
        </is>
      </c>
      <c r="B20" s="7" t="inlineStr">
        <is>
          <t>5 V regulator</t>
        </is>
      </c>
      <c r="C20" s="7" t="inlineStr">
        <is>
          <t>L7805CV</t>
        </is>
      </c>
      <c r="D20" s="8" t="inlineStr">
        <is>
          <t>7–35 V in, 5 V out</t>
        </is>
      </c>
      <c r="E20" s="8" t="n">
        <v>1</v>
      </c>
      <c r="F20" s="8" t="n">
        <v>1000</v>
      </c>
      <c r="G20" s="8">
        <f>E20*F20</f>
        <v/>
      </c>
      <c r="H20" s="8" t="inlineStr">
        <is>
          <t>mA</t>
        </is>
      </c>
    </row>
    <row r="21" ht="22" customHeight="1">
      <c r="A21" s="14" t="inlineStr">
        <is>
          <t>Total Remaining Current Available on +5 V Rail</t>
        </is>
      </c>
      <c r="B21" s="15" t="n"/>
      <c r="C21" s="15" t="n"/>
      <c r="D21" s="15" t="n"/>
      <c r="E21" s="15" t="n"/>
      <c r="F21" s="15" t="n"/>
      <c r="G21" s="16">
        <f>G20-G19</f>
        <v/>
      </c>
      <c r="H21" s="17" t="inlineStr">
        <is>
          <t>mA</t>
        </is>
      </c>
    </row>
    <row r="22" ht="22" customHeight="1"/>
    <row r="23" ht="22" customHeight="1">
      <c r="A23" s="5" t="inlineStr">
        <is>
          <t>Section</t>
        </is>
      </c>
      <c r="B23" s="5" t="inlineStr">
        <is>
          <t>Component Name</t>
        </is>
      </c>
      <c r="C23" s="5" t="inlineStr">
        <is>
          <t>Part Number</t>
        </is>
      </c>
      <c r="D23" s="5" t="inlineStr">
        <is>
          <t>Supply Voltage Range</t>
        </is>
      </c>
      <c r="E23" s="5" t="inlineStr">
        <is>
          <t>Qty.</t>
        </is>
      </c>
      <c r="F23" s="5" t="inlineStr">
        <is>
          <t>Absolute Maximum Current (mA)</t>
        </is>
      </c>
      <c r="G23" s="5" t="inlineStr">
        <is>
          <t>Total Current (mA)</t>
        </is>
      </c>
      <c r="H23" s="5" t="inlineStr">
        <is>
          <t>Unit</t>
        </is>
      </c>
    </row>
    <row r="24" ht="22" customHeight="1">
      <c r="A24" s="6" t="inlineStr">
        <is>
          <t>+3.3 V Power Rail</t>
        </is>
      </c>
      <c r="B24" s="7" t="inlineStr">
        <is>
          <t>128x64 SSD1306 OLED</t>
        </is>
      </c>
      <c r="C24" s="7" t="inlineStr">
        <is>
          <t>UG-2864HSWEG01</t>
        </is>
      </c>
      <c r="D24" s="8" t="inlineStr">
        <is>
          <t>3.3 V</t>
        </is>
      </c>
      <c r="E24" s="8" t="n">
        <v>1</v>
      </c>
      <c r="F24" s="8">
        <f>F10</f>
        <v/>
      </c>
      <c r="G24" s="8">
        <f>E24*F24</f>
        <v/>
      </c>
      <c r="H24" s="8" t="inlineStr">
        <is>
          <t>mA</t>
        </is>
      </c>
    </row>
    <row r="25" ht="22" customHeight="1">
      <c r="A25" s="9" t="inlineStr">
        <is>
          <t>Subtotal</t>
        </is>
      </c>
      <c r="B25" s="10" t="n"/>
      <c r="C25" s="10" t="n"/>
      <c r="D25" s="10" t="n"/>
      <c r="E25" s="10" t="n"/>
      <c r="F25" s="10" t="n"/>
      <c r="G25" s="11">
        <f>G24</f>
        <v/>
      </c>
      <c r="H25" s="12" t="inlineStr">
        <is>
          <t>mA</t>
        </is>
      </c>
    </row>
    <row r="26" ht="22" customHeight="1">
      <c r="A26" s="9" t="inlineStr">
        <is>
          <t>Safety Margin</t>
        </is>
      </c>
      <c r="B26" s="10" t="n"/>
      <c r="C26" s="10" t="n"/>
      <c r="D26" s="10" t="n"/>
      <c r="E26" s="10" t="n"/>
      <c r="F26" s="10" t="n"/>
      <c r="G26" s="13" t="n">
        <v>0.25</v>
      </c>
      <c r="H26" s="12" t="inlineStr"/>
    </row>
    <row r="27" ht="22" customHeight="1">
      <c r="A27" s="9" t="inlineStr">
        <is>
          <t>Total Current Required on +3.3 V Rail</t>
        </is>
      </c>
      <c r="B27" s="10" t="n"/>
      <c r="C27" s="10" t="n"/>
      <c r="D27" s="10" t="n"/>
      <c r="E27" s="10" t="n"/>
      <c r="F27" s="10" t="n"/>
      <c r="G27" s="11">
        <f>G25*(1+G26)</f>
        <v/>
      </c>
      <c r="H27" s="12" t="inlineStr">
        <is>
          <t>mA</t>
        </is>
      </c>
    </row>
    <row r="28" ht="22" customHeight="1">
      <c r="A28" s="6" t="inlineStr">
        <is>
          <t>Regulator</t>
        </is>
      </c>
      <c r="B28" s="7" t="inlineStr">
        <is>
          <t>3.3 V LDO</t>
        </is>
      </c>
      <c r="C28" s="7" t="inlineStr">
        <is>
          <t>U2, SOT-23-5</t>
        </is>
      </c>
      <c r="D28" s="8" t="inlineStr">
        <is>
          <t>5 V in, 3.3 V out</t>
        </is>
      </c>
      <c r="E28" s="8" t="n">
        <v>1</v>
      </c>
      <c r="F28" s="8" t="n">
        <v>500</v>
      </c>
      <c r="G28" s="8">
        <f>E28*F28</f>
        <v/>
      </c>
      <c r="H28" s="8" t="inlineStr">
        <is>
          <t>mA</t>
        </is>
      </c>
    </row>
    <row r="29" ht="22" customHeight="1">
      <c r="A29" s="14" t="inlineStr">
        <is>
          <t>Total Remaining Current Available on +3.3 V Rail</t>
        </is>
      </c>
      <c r="B29" s="15" t="n"/>
      <c r="C29" s="15" t="n"/>
      <c r="D29" s="15" t="n"/>
      <c r="E29" s="15" t="n"/>
      <c r="F29" s="15" t="n"/>
      <c r="G29" s="16">
        <f>G28-G27</f>
        <v/>
      </c>
      <c r="H29" s="17" t="inlineStr">
        <is>
          <t>mA</t>
        </is>
      </c>
    </row>
    <row r="30" ht="22" customHeight="1"/>
    <row r="31" ht="22" customHeight="1">
      <c r="A31" s="5" t="inlineStr">
        <is>
          <t>Section</t>
        </is>
      </c>
      <c r="B31" s="5" t="inlineStr">
        <is>
          <t>Component Name</t>
        </is>
      </c>
      <c r="C31" s="5" t="inlineStr">
        <is>
          <t>Part Number</t>
        </is>
      </c>
      <c r="D31" s="5" t="inlineStr">
        <is>
          <t>Supply Voltage Range</t>
        </is>
      </c>
      <c r="E31" s="5" t="inlineStr">
        <is>
          <t>Output Voltage</t>
        </is>
      </c>
      <c r="F31" s="5" t="inlineStr">
        <is>
          <t>Absolute Maximum Current (mA)</t>
        </is>
      </c>
      <c r="G31" s="5" t="inlineStr">
        <is>
          <t>Total Current (mA)</t>
        </is>
      </c>
      <c r="H31" s="5" t="inlineStr">
        <is>
          <t>Unit</t>
        </is>
      </c>
    </row>
    <row r="32" ht="22" customHeight="1">
      <c r="A32" s="6" t="inlineStr">
        <is>
          <t>External Power Source</t>
        </is>
      </c>
      <c r="B32" s="7" t="inlineStr">
        <is>
          <t>9 V barrel jack through 1 A fuse</t>
        </is>
      </c>
      <c r="C32" s="7" t="inlineStr">
        <is>
          <t>J1, F2</t>
        </is>
      </c>
      <c r="D32" s="8" t="inlineStr">
        <is>
          <t>9 V</t>
        </is>
      </c>
      <c r="E32" s="8" t="inlineStr">
        <is>
          <t>9 V</t>
        </is>
      </c>
      <c r="F32" s="8" t="n">
        <v>1000</v>
      </c>
      <c r="G32" s="8" t="n">
        <v>1000</v>
      </c>
      <c r="H32" s="8" t="inlineStr">
        <is>
          <t>mA</t>
        </is>
      </c>
    </row>
    <row r="33" ht="22" customHeight="1">
      <c r="A33" s="6" t="inlineStr">
        <is>
          <t>Drawn from the 9 V source</t>
        </is>
      </c>
      <c r="B33" s="7" t="inlineStr">
        <is>
          <t>LM7805 load current</t>
        </is>
      </c>
      <c r="C33" s="7" t="inlineStr">
        <is>
          <t>L7805CV</t>
        </is>
      </c>
      <c r="D33" s="8" t="inlineStr">
        <is>
          <t>9 V to 5 V</t>
        </is>
      </c>
      <c r="E33" s="8" t="inlineStr"/>
      <c r="F33" s="8" t="inlineStr"/>
      <c r="G33" s="8">
        <f>G19</f>
        <v/>
      </c>
      <c r="H33" s="8" t="inlineStr">
        <is>
          <t>mA</t>
        </is>
      </c>
    </row>
    <row r="34" ht="22" customHeight="1">
      <c r="A34" s="7" t="inlineStr"/>
      <c r="B34" s="7" t="inlineStr">
        <is>
          <t>LM7805 quiescent current</t>
        </is>
      </c>
      <c r="C34" s="7" t="inlineStr">
        <is>
          <t>L7805CV</t>
        </is>
      </c>
      <c r="D34" s="8" t="inlineStr">
        <is>
          <t>9 V</t>
        </is>
      </c>
      <c r="E34" s="8" t="n">
        <v>1</v>
      </c>
      <c r="F34" s="8" t="n">
        <v>8</v>
      </c>
      <c r="G34" s="8">
        <f>E34*F34</f>
        <v/>
      </c>
      <c r="H34" s="8" t="inlineStr">
        <is>
          <t>mA</t>
        </is>
      </c>
    </row>
    <row r="35" ht="22" customHeight="1">
      <c r="A35" s="14" t="inlineStr">
        <is>
          <t>Total Remaining Current Available on the 9 V Source</t>
        </is>
      </c>
      <c r="B35" s="15" t="n"/>
      <c r="C35" s="15" t="n"/>
      <c r="D35" s="15" t="n"/>
      <c r="E35" s="15" t="n"/>
      <c r="F35" s="15" t="n"/>
      <c r="G35" s="16">
        <f>G32-G33-G34</f>
        <v/>
      </c>
      <c r="H35" s="17" t="inlineStr">
        <is>
          <t>mA</t>
        </is>
      </c>
    </row>
    <row r="37">
      <c r="A37" s="18" t="inlineStr">
        <is>
          <t>Battery life, only if a 9 V battery replaces the barrel jack</t>
        </is>
      </c>
    </row>
    <row r="38">
      <c r="A38" s="6" t="inlineStr">
        <is>
          <t>Battery</t>
        </is>
      </c>
      <c r="B38" s="7" t="inlineStr">
        <is>
          <t>9 V alkaline, assumed</t>
        </is>
      </c>
      <c r="C38" s="7" t="inlineStr">
        <is>
          <t>not on the schematic</t>
        </is>
      </c>
      <c r="D38" s="8" t="inlineStr">
        <is>
          <t>9 V</t>
        </is>
      </c>
      <c r="E38" s="8" t="inlineStr">
        <is>
          <t>9 V</t>
        </is>
      </c>
      <c r="F38" s="8" t="n">
        <v>500</v>
      </c>
      <c r="G38" s="8">
        <f>G33+G34</f>
        <v/>
      </c>
      <c r="H38" s="8" t="inlineStr">
        <is>
          <t>mA</t>
        </is>
      </c>
    </row>
    <row r="39">
      <c r="A39" s="19" t="n"/>
      <c r="B39" s="19" t="n"/>
      <c r="C39" s="19" t="n"/>
      <c r="D39" s="19" t="inlineStr">
        <is>
          <t>Capacity (mAh)</t>
        </is>
      </c>
      <c r="E39" s="19" t="n"/>
      <c r="F39" s="19" t="inlineStr">
        <is>
          <t>Battery life</t>
        </is>
      </c>
      <c r="G39" s="16">
        <f>F38/G38</f>
        <v/>
      </c>
      <c r="H39" s="19" t="inlineStr">
        <is>
          <t>hours</t>
        </is>
      </c>
    </row>
    <row r="41" ht="30" customHeight="1">
      <c r="A41" s="20" t="inlineStr">
        <is>
          <t>Notes: OLED current is the SSD1306 module maximum with the internal charge pump and every pixel on (32.0 mA IBAT plus 0.3 mA IDD). LED current is (5 V - 1.8 V) / 330 ohm, rounded to 10 mA. The PIC allowance is 15 mA for full-speed 5 V operation with UART, I2C, and PWM enabled. It is an operating allowance, not a copied datasheet maximum and not a lab measurement. U2 is an unlabeled SOT-23-5 regulator; its 500 mA rating comes from the block diagram. LM7805 quiescent current uses the 8 mA datasheet maximum. The 1 A figure on the 5 V regulator row is fuse F2, which is below the L7805CV 1.5 A rating. Regulator dissipation at this load is about 0.36 W.</t>
        </is>
      </c>
    </row>
    <row r="42" ht="30" customHeight="1"/>
    <row r="43" ht="30" customHeight="1"/>
  </sheetData>
  <mergeCells count="13">
    <mergeCell ref="A7:H7"/>
    <mergeCell ref="A19:F19"/>
    <mergeCell ref="A27:F27"/>
    <mergeCell ref="A41:H43"/>
    <mergeCell ref="A17:F17"/>
    <mergeCell ref="A18:F18"/>
    <mergeCell ref="A35:F35"/>
    <mergeCell ref="A1:H1"/>
    <mergeCell ref="A26:F26"/>
    <mergeCell ref="A21:F21"/>
    <mergeCell ref="A37:H37"/>
    <mergeCell ref="A29:F29"/>
    <mergeCell ref="A25:F25"/>
  </mergeCells>
  <pageMargins left="0.4" right="0.4" top="1" bottom="1" header="0.5" footer="0.5"/>
  <pageSetup orientation="landscape" paperSize="3" fitToHeight="1" fitToWidth="1"/>
  <headerFooter>
    <oddHeader>&amp;LRadioLink hub power budget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2026-10-26T17:42:12Z</dcterms:created>
  <dcterms:modified xsi:type="dcterms:W3CDTF">2026-10-26T17:42:12Z</dcterms:modified>
</cp:coreProperties>
</file>